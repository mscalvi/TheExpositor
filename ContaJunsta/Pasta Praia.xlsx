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esktop\"/>
    </mc:Choice>
  </mc:AlternateContent>
  <xr:revisionPtr revIDLastSave="0" documentId="13_ncr:1_{142AB60E-B3F8-4CCF-A334-847729B99E97}" xr6:coauthVersionLast="47" xr6:coauthVersionMax="47" xr10:uidLastSave="{00000000-0000-0000-0000-000000000000}"/>
  <bookViews>
    <workbookView xWindow="-120" yWindow="-120" windowWidth="29040" windowHeight="15720" xr2:uid="{8A4244E2-0D20-4238-9F06-77EAFCBB21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0" i="1" l="1"/>
  <c r="AG19" i="1"/>
  <c r="AG17" i="1"/>
  <c r="AE20" i="1"/>
  <c r="AE19" i="1"/>
  <c r="AE17" i="1"/>
  <c r="AC20" i="1"/>
  <c r="AC16" i="1"/>
  <c r="AC15" i="1"/>
  <c r="AC14" i="1"/>
  <c r="AE16" i="1"/>
  <c r="AA20" i="1"/>
  <c r="AA19" i="1"/>
  <c r="AA16" i="1"/>
  <c r="AA15" i="1"/>
  <c r="Q12" i="1"/>
  <c r="R12" i="1"/>
  <c r="S12" i="1"/>
  <c r="T12" i="1"/>
  <c r="U12" i="1"/>
  <c r="V12" i="1"/>
  <c r="W12" i="1"/>
  <c r="X12" i="1"/>
  <c r="V13" i="1"/>
  <c r="N13" i="1"/>
  <c r="O13" i="1" s="1"/>
  <c r="U13" i="1" s="1"/>
  <c r="N12" i="1"/>
  <c r="O12" i="1" s="1"/>
  <c r="B11" i="1"/>
  <c r="B10" i="1"/>
  <c r="N3" i="1"/>
  <c r="O3" i="1" s="1"/>
  <c r="V3" i="1" s="1"/>
  <c r="N4" i="1"/>
  <c r="N5" i="1"/>
  <c r="O5" i="1" s="1"/>
  <c r="V5" i="1" s="1"/>
  <c r="N6" i="1"/>
  <c r="O6" i="1" s="1"/>
  <c r="X6" i="1" s="1"/>
  <c r="N7" i="1"/>
  <c r="O7" i="1" s="1"/>
  <c r="U7" i="1" s="1"/>
  <c r="AE10" i="1" s="1"/>
  <c r="N8" i="1"/>
  <c r="O8" i="1" s="1"/>
  <c r="V8" i="1" s="1"/>
  <c r="N9" i="1"/>
  <c r="O9" i="1" s="1"/>
  <c r="N10" i="1"/>
  <c r="N11" i="1"/>
  <c r="O11" i="1" s="1"/>
  <c r="V11" i="1" s="1"/>
  <c r="V9" i="1"/>
  <c r="B4" i="1"/>
  <c r="AE45" i="1"/>
  <c r="AE44" i="1"/>
  <c r="AC44" i="1"/>
  <c r="AG40" i="1"/>
  <c r="AE40" i="1"/>
  <c r="AC40" i="1"/>
  <c r="AA40" i="1"/>
  <c r="AG37" i="1"/>
  <c r="AG36" i="1"/>
  <c r="AG35" i="1"/>
  <c r="AG34" i="1"/>
  <c r="AG32" i="1"/>
  <c r="AE32" i="1"/>
  <c r="T13" i="1" l="1"/>
  <c r="S13" i="1"/>
  <c r="Q13" i="1"/>
  <c r="R13" i="1"/>
  <c r="W13" i="1"/>
  <c r="X13" i="1"/>
  <c r="O10" i="1"/>
  <c r="X10" i="1" s="1"/>
  <c r="V10" i="1"/>
  <c r="V7" i="1"/>
  <c r="AF10" i="1" s="1"/>
  <c r="V6" i="1"/>
  <c r="U11" i="1"/>
  <c r="O4" i="1"/>
  <c r="Q6" i="1"/>
  <c r="U10" i="1"/>
  <c r="R11" i="1"/>
  <c r="R6" i="1"/>
  <c r="W5" i="1"/>
  <c r="AG5" i="1" s="1"/>
  <c r="AF5" i="1"/>
  <c r="U5" i="1"/>
  <c r="AE5" i="1" s="1"/>
  <c r="T5" i="1"/>
  <c r="X5" i="1"/>
  <c r="S5" i="1"/>
  <c r="R5" i="1"/>
  <c r="Q5" i="1"/>
  <c r="X7" i="1"/>
  <c r="AH10" i="1" s="1"/>
  <c r="W7" i="1"/>
  <c r="AG10" i="1" s="1"/>
  <c r="S7" i="1"/>
  <c r="AC10" i="1" s="1"/>
  <c r="T7" i="1"/>
  <c r="AD10" i="1" s="1"/>
  <c r="R7" i="1"/>
  <c r="AB10" i="1" s="1"/>
  <c r="Q7" i="1"/>
  <c r="AA10" i="1" s="1"/>
  <c r="W3" i="1"/>
  <c r="X3" i="1"/>
  <c r="U3" i="1"/>
  <c r="T3" i="1"/>
  <c r="S3" i="1"/>
  <c r="Q3" i="1"/>
  <c r="R3" i="1"/>
  <c r="AE4" i="1"/>
  <c r="AB8" i="1"/>
  <c r="S11" i="1"/>
  <c r="Q11" i="1"/>
  <c r="T11" i="1"/>
  <c r="W11" i="1"/>
  <c r="X11" i="1"/>
  <c r="Q8" i="1"/>
  <c r="X8" i="1"/>
  <c r="W8" i="1"/>
  <c r="U8" i="1"/>
  <c r="R8" i="1"/>
  <c r="T8" i="1"/>
  <c r="S8" i="1"/>
  <c r="AD7" i="1"/>
  <c r="AA7" i="1"/>
  <c r="AB7" i="1"/>
  <c r="U9" i="1"/>
  <c r="S9" i="1"/>
  <c r="Q9" i="1"/>
  <c r="R9" i="1"/>
  <c r="T9" i="1"/>
  <c r="W9" i="1"/>
  <c r="X9" i="1"/>
  <c r="S6" i="1"/>
  <c r="W6" i="1"/>
  <c r="T6" i="1"/>
  <c r="U6" i="1"/>
  <c r="AH4" i="1"/>
  <c r="AG4" i="1"/>
  <c r="AF4" i="1"/>
  <c r="AD4" i="1"/>
  <c r="AC9" i="1"/>
  <c r="AB9" i="1"/>
  <c r="AA9" i="1"/>
  <c r="AH9" i="1"/>
  <c r="AG9" i="1"/>
  <c r="AF9" i="1"/>
  <c r="AE9" i="1"/>
  <c r="AD9" i="1"/>
  <c r="AF8" i="1"/>
  <c r="AH8" i="1"/>
  <c r="AH5" i="1" l="1"/>
  <c r="T10" i="1"/>
  <c r="AD3" i="1" s="1"/>
  <c r="S10" i="1"/>
  <c r="AC3" i="1" s="1"/>
  <c r="W10" i="1"/>
  <c r="AG3" i="1" s="1"/>
  <c r="R10" i="1"/>
  <c r="Q10" i="1"/>
  <c r="AA3" i="1" s="1"/>
  <c r="U4" i="1"/>
  <c r="AE6" i="1" s="1"/>
  <c r="V4" i="1"/>
  <c r="AF6" i="1" s="1"/>
  <c r="AD5" i="1"/>
  <c r="S4" i="1"/>
  <c r="AC6" i="1" s="1"/>
  <c r="W4" i="1"/>
  <c r="AG6" i="1" s="1"/>
  <c r="Q4" i="1"/>
  <c r="AA6" i="1" s="1"/>
  <c r="X4" i="1"/>
  <c r="AH6" i="1" s="1"/>
  <c r="R4" i="1"/>
  <c r="AB6" i="1" s="1"/>
  <c r="T4" i="1"/>
  <c r="AD6" i="1" s="1"/>
  <c r="AB5" i="1"/>
  <c r="AA5" i="1"/>
  <c r="AB4" i="1"/>
  <c r="AC4" i="1"/>
  <c r="AD8" i="1"/>
  <c r="AC7" i="1"/>
  <c r="AG8" i="1"/>
  <c r="AE7" i="1"/>
  <c r="AF7" i="1"/>
  <c r="AB3" i="1"/>
  <c r="AG7" i="1"/>
  <c r="AE8" i="1"/>
  <c r="AC8" i="1"/>
  <c r="AH7" i="1"/>
  <c r="AE3" i="1"/>
  <c r="AF3" i="1"/>
  <c r="AA8" i="1"/>
  <c r="AC5" i="1"/>
  <c r="AH3" i="1"/>
  <c r="AA4" i="1"/>
</calcChain>
</file>

<file path=xl/sharedStrings.xml><?xml version="1.0" encoding="utf-8"?>
<sst xmlns="http://schemas.openxmlformats.org/spreadsheetml/2006/main" count="217" uniqueCount="32">
  <si>
    <t>Gasto</t>
  </si>
  <si>
    <t>Valor já Pago</t>
  </si>
  <si>
    <t>Divisão da Conta</t>
  </si>
  <si>
    <t>Valor Faltando por Gasto</t>
  </si>
  <si>
    <t>Valores Finais a Receber</t>
  </si>
  <si>
    <t>Item</t>
  </si>
  <si>
    <t>Valor</t>
  </si>
  <si>
    <t>Pagou</t>
  </si>
  <si>
    <t>Marcelo</t>
  </si>
  <si>
    <t>Vivian</t>
  </si>
  <si>
    <t>Gustavo</t>
  </si>
  <si>
    <t>Hamster</t>
  </si>
  <si>
    <t>Renato</t>
  </si>
  <si>
    <t>João</t>
  </si>
  <si>
    <t>Felipe</t>
  </si>
  <si>
    <t>Raíssa</t>
  </si>
  <si>
    <t>Pessoas</t>
  </si>
  <si>
    <t>Por Pessoa</t>
  </si>
  <si>
    <t>n</t>
  </si>
  <si>
    <t>Recebe de</t>
  </si>
  <si>
    <t>Paga para</t>
  </si>
  <si>
    <t>Cerveja</t>
  </si>
  <si>
    <t>Mercado</t>
  </si>
  <si>
    <t>Mercado 2</t>
  </si>
  <si>
    <t>Barraca 1</t>
  </si>
  <si>
    <t>Mercado 3</t>
  </si>
  <si>
    <t>Gasolina M1</t>
  </si>
  <si>
    <t>Gasolina M2</t>
  </si>
  <si>
    <t>Pedágio M1</t>
  </si>
  <si>
    <t>Pedágio M2</t>
  </si>
  <si>
    <t>Frango</t>
  </si>
  <si>
    <t>Álcool e Periféricos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</si>
</sst>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6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0" fillId="3" borderId="0" xfId="1" applyFont="1" applyFill="1"/>
    <xf numFmtId="0" fontId="0" fillId="4" borderId="0" xfId="0" applyFill="1"/>
    <xf numFmtId="0" fontId="0" fillId="0" borderId="0" xfId="0" applyAlignment="1">
      <alignment horizontal="left"/>
    </xf>
    <xf numFmtId="164" fontId="0" fillId="0" borderId="0" xfId="1" applyFont="1"/>
    <xf numFmtId="164" fontId="0" fillId="0" borderId="0" xfId="1" applyFont="1" applyFill="1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164" fontId="0" fillId="0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36BB-7E20-4213-9025-55C86548C2AF}">
  <dimension ref="A1:AH46"/>
  <sheetViews>
    <sheetView tabSelected="1" zoomScale="85" zoomScaleNormal="85" workbookViewId="0">
      <pane ySplit="2" topLeftCell="A3" activePane="bottomLeft" state="frozen"/>
      <selection pane="bottomLeft" activeCell="O10" sqref="O10"/>
    </sheetView>
  </sheetViews>
  <sheetFormatPr defaultRowHeight="15" x14ac:dyDescent="0.25"/>
  <cols>
    <col min="1" max="1" width="18.7109375" bestFit="1" customWidth="1"/>
    <col min="2" max="2" width="11.7109375" style="2" bestFit="1" customWidth="1"/>
    <col min="4" max="4" width="2.7109375" style="1" customWidth="1"/>
    <col min="5" max="12" width="10.140625" style="2" bestFit="1" customWidth="1"/>
    <col min="13" max="13" width="2.7109375" style="1" customWidth="1"/>
    <col min="14" max="14" width="9.140625" style="3"/>
    <col min="15" max="15" width="10.5703125" style="4" bestFit="1" customWidth="1"/>
    <col min="16" max="16" width="2.7109375" style="1" customWidth="1"/>
    <col min="17" max="24" width="10.7109375" style="2" customWidth="1"/>
    <col min="25" max="25" width="2.7109375" style="1" customWidth="1"/>
    <col min="27" max="34" width="11.7109375" style="8" customWidth="1"/>
  </cols>
  <sheetData>
    <row r="1" spans="1:34" x14ac:dyDescent="0.25">
      <c r="A1" s="10" t="s">
        <v>0</v>
      </c>
      <c r="B1" s="10"/>
      <c r="C1" s="10"/>
      <c r="E1" s="11" t="s">
        <v>1</v>
      </c>
      <c r="F1" s="11"/>
      <c r="G1" s="11"/>
      <c r="H1" s="11"/>
      <c r="I1" s="11"/>
      <c r="J1" s="11"/>
      <c r="K1" s="11"/>
      <c r="L1" s="11"/>
      <c r="N1" s="12" t="s">
        <v>2</v>
      </c>
      <c r="O1" s="12"/>
      <c r="Q1" s="11" t="s">
        <v>3</v>
      </c>
      <c r="R1" s="11"/>
      <c r="S1" s="11"/>
      <c r="T1" s="11"/>
      <c r="U1" s="11"/>
      <c r="V1" s="11"/>
      <c r="W1" s="11"/>
      <c r="X1" s="11"/>
      <c r="Z1" s="10" t="s">
        <v>4</v>
      </c>
      <c r="AA1" s="10"/>
      <c r="AB1" s="10"/>
      <c r="AC1" s="10"/>
      <c r="AD1" s="10"/>
      <c r="AE1" s="10"/>
      <c r="AF1" s="10"/>
      <c r="AG1" s="10"/>
      <c r="AH1" s="10"/>
    </row>
    <row r="2" spans="1:34" x14ac:dyDescent="0.25">
      <c r="A2" t="s">
        <v>5</v>
      </c>
      <c r="B2" s="2" t="s">
        <v>6</v>
      </c>
      <c r="C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N2" s="3" t="s">
        <v>16</v>
      </c>
      <c r="O2" s="4" t="s">
        <v>17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AA2" s="5" t="s">
        <v>8</v>
      </c>
      <c r="AB2" s="5" t="s">
        <v>9</v>
      </c>
      <c r="AC2" s="5" t="s">
        <v>10</v>
      </c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</row>
    <row r="3" spans="1:34" x14ac:dyDescent="0.25">
      <c r="A3" t="s">
        <v>21</v>
      </c>
      <c r="B3" s="2">
        <v>61.2</v>
      </c>
      <c r="C3" t="s">
        <v>11</v>
      </c>
      <c r="E3" s="2">
        <v>0</v>
      </c>
      <c r="F3" s="2" t="s">
        <v>18</v>
      </c>
      <c r="G3" s="2">
        <v>0</v>
      </c>
      <c r="H3" s="2">
        <v>12.24</v>
      </c>
      <c r="I3" s="2">
        <v>0</v>
      </c>
      <c r="J3" s="2" t="s">
        <v>18</v>
      </c>
      <c r="K3" s="2">
        <v>0</v>
      </c>
      <c r="L3" s="2" t="s">
        <v>18</v>
      </c>
      <c r="N3" s="3">
        <f t="shared" ref="N3:N12" si="0">8-COUNTIF(E3:L3,"n")</f>
        <v>5</v>
      </c>
      <c r="O3" s="4">
        <f t="shared" ref="O3:O12" si="1">ROUND(B3/N3,2)</f>
        <v>12.24</v>
      </c>
      <c r="Q3" s="2">
        <f t="shared" ref="Q3:Q11" si="2">IF(E3="n","Nada",IF(E3&gt;=0,$O3-E3,E3))</f>
        <v>12.24</v>
      </c>
      <c r="R3" s="2" t="str">
        <f t="shared" ref="R3:R11" si="3">IF(F3="n","Nada",IF(F3&gt;=0,$O3-F3,F3))</f>
        <v>Nada</v>
      </c>
      <c r="S3" s="2">
        <f t="shared" ref="S3:S11" si="4">IF(G3="n","Nada",IF(G3&gt;=0,$O3-G3,G3))</f>
        <v>12.24</v>
      </c>
      <c r="T3" s="2">
        <f t="shared" ref="T3:T11" si="5">IF(H3="n","Nada",IF(H3&gt;=0,$O3-H3,H3))</f>
        <v>0</v>
      </c>
      <c r="U3" s="2">
        <f t="shared" ref="U3:U11" si="6">IF(I3="n","Nada",IF(I3&gt;=0,$O3-I3,I3))</f>
        <v>12.24</v>
      </c>
      <c r="V3" s="2" t="str">
        <f t="shared" ref="V3:V11" si="7">IF(J3="n","Nada",IF(J3&gt;=0,$O3-J3,J3))</f>
        <v>Nada</v>
      </c>
      <c r="W3" s="2">
        <f t="shared" ref="W3:W11" si="8">IF(K3="n","Nada",IF(K3&gt;=0,$O3-K3,K3))</f>
        <v>12.24</v>
      </c>
      <c r="X3" s="2" t="str">
        <f t="shared" ref="X3:X11" si="9">IF(L3="n","Nada",IF(L3&gt;=0,$O3-L3,L3))</f>
        <v>Nada</v>
      </c>
      <c r="Z3" s="6" t="s">
        <v>8</v>
      </c>
      <c r="AA3" s="4">
        <f t="shared" ref="AA3:AH10" si="10">SUMIF($C:$C,$Z3,Q:Q)</f>
        <v>0</v>
      </c>
      <c r="AB3" s="4">
        <f t="shared" si="10"/>
        <v>140.73000000000002</v>
      </c>
      <c r="AC3" s="4">
        <f t="shared" si="10"/>
        <v>85.13</v>
      </c>
      <c r="AD3" s="4">
        <f t="shared" si="10"/>
        <v>140.73000000000002</v>
      </c>
      <c r="AE3" s="4">
        <f t="shared" si="10"/>
        <v>2.14</v>
      </c>
      <c r="AF3" s="4">
        <f t="shared" si="10"/>
        <v>0</v>
      </c>
      <c r="AG3" s="4">
        <f t="shared" si="10"/>
        <v>57.74</v>
      </c>
      <c r="AH3" s="4">
        <f t="shared" si="10"/>
        <v>57.74</v>
      </c>
    </row>
    <row r="4" spans="1:34" x14ac:dyDescent="0.25">
      <c r="A4" s="7" t="s">
        <v>22</v>
      </c>
      <c r="B4" s="8">
        <f>594.55-61.2</f>
        <v>533.34999999999991</v>
      </c>
      <c r="C4" t="s">
        <v>11</v>
      </c>
      <c r="E4" s="2">
        <v>0</v>
      </c>
      <c r="F4" s="2">
        <v>0</v>
      </c>
      <c r="G4" s="2">
        <v>0</v>
      </c>
      <c r="H4" s="2">
        <v>76.19</v>
      </c>
      <c r="I4" s="2">
        <v>0</v>
      </c>
      <c r="J4" s="2" t="s">
        <v>18</v>
      </c>
      <c r="K4" s="2">
        <v>0</v>
      </c>
      <c r="L4" s="2">
        <v>0</v>
      </c>
      <c r="N4" s="3">
        <f t="shared" si="0"/>
        <v>7</v>
      </c>
      <c r="O4" s="4">
        <f t="shared" si="1"/>
        <v>76.19</v>
      </c>
      <c r="Q4" s="2">
        <f t="shared" si="2"/>
        <v>76.19</v>
      </c>
      <c r="R4" s="2">
        <f t="shared" si="3"/>
        <v>76.19</v>
      </c>
      <c r="S4" s="2">
        <f t="shared" si="4"/>
        <v>76.19</v>
      </c>
      <c r="T4" s="2">
        <f t="shared" si="5"/>
        <v>0</v>
      </c>
      <c r="U4" s="2">
        <f t="shared" si="6"/>
        <v>76.19</v>
      </c>
      <c r="V4" s="2" t="str">
        <f t="shared" si="7"/>
        <v>Nada</v>
      </c>
      <c r="W4" s="2">
        <f t="shared" si="8"/>
        <v>76.19</v>
      </c>
      <c r="X4" s="2">
        <f t="shared" si="9"/>
        <v>76.19</v>
      </c>
      <c r="Z4" s="6" t="s">
        <v>9</v>
      </c>
      <c r="AA4" s="4">
        <f t="shared" si="10"/>
        <v>0</v>
      </c>
      <c r="AB4" s="4">
        <f t="shared" si="10"/>
        <v>0</v>
      </c>
      <c r="AC4" s="4">
        <f t="shared" si="10"/>
        <v>0</v>
      </c>
      <c r="AD4" s="4">
        <f t="shared" si="10"/>
        <v>0</v>
      </c>
      <c r="AE4" s="4">
        <f t="shared" si="10"/>
        <v>0</v>
      </c>
      <c r="AF4" s="4">
        <f t="shared" si="10"/>
        <v>0</v>
      </c>
      <c r="AG4" s="4">
        <f t="shared" si="10"/>
        <v>0</v>
      </c>
      <c r="AH4" s="4">
        <f t="shared" si="10"/>
        <v>0</v>
      </c>
    </row>
    <row r="5" spans="1:34" x14ac:dyDescent="0.25">
      <c r="A5" s="7" t="s">
        <v>23</v>
      </c>
      <c r="B5" s="8">
        <v>57.03</v>
      </c>
      <c r="C5" t="s">
        <v>10</v>
      </c>
      <c r="E5" s="2">
        <v>0</v>
      </c>
      <c r="F5" s="2">
        <v>0</v>
      </c>
      <c r="G5" s="2">
        <v>8.15</v>
      </c>
      <c r="H5" s="2">
        <v>0</v>
      </c>
      <c r="I5" s="2">
        <v>0</v>
      </c>
      <c r="J5" s="2" t="s">
        <v>18</v>
      </c>
      <c r="K5" s="2">
        <v>0</v>
      </c>
      <c r="L5" s="2">
        <v>0</v>
      </c>
      <c r="N5" s="3">
        <f t="shared" si="0"/>
        <v>7</v>
      </c>
      <c r="O5" s="4">
        <f t="shared" si="1"/>
        <v>8.15</v>
      </c>
      <c r="Q5" s="2">
        <f t="shared" si="2"/>
        <v>8.15</v>
      </c>
      <c r="R5" s="2">
        <f t="shared" si="3"/>
        <v>8.15</v>
      </c>
      <c r="S5" s="2">
        <f t="shared" si="4"/>
        <v>0</v>
      </c>
      <c r="T5" s="2">
        <f t="shared" si="5"/>
        <v>8.15</v>
      </c>
      <c r="U5" s="2">
        <f t="shared" si="6"/>
        <v>8.15</v>
      </c>
      <c r="V5" s="2" t="str">
        <f t="shared" si="7"/>
        <v>Nada</v>
      </c>
      <c r="W5" s="2">
        <f t="shared" si="8"/>
        <v>8.15</v>
      </c>
      <c r="X5" s="2">
        <f t="shared" si="9"/>
        <v>8.15</v>
      </c>
      <c r="Z5" s="6" t="s">
        <v>10</v>
      </c>
      <c r="AA5" s="4">
        <f t="shared" si="10"/>
        <v>27.619999999999997</v>
      </c>
      <c r="AB5" s="4">
        <f t="shared" si="10"/>
        <v>27.619999999999997</v>
      </c>
      <c r="AC5" s="4">
        <f t="shared" si="10"/>
        <v>0</v>
      </c>
      <c r="AD5" s="4">
        <f t="shared" si="10"/>
        <v>27.619999999999997</v>
      </c>
      <c r="AE5" s="4">
        <f t="shared" si="10"/>
        <v>27.619999999999997</v>
      </c>
      <c r="AF5" s="4">
        <f t="shared" si="10"/>
        <v>0</v>
      </c>
      <c r="AG5" s="4">
        <f t="shared" si="10"/>
        <v>27.619999999999997</v>
      </c>
      <c r="AH5" s="4">
        <f t="shared" si="10"/>
        <v>27.619999999999997</v>
      </c>
    </row>
    <row r="6" spans="1:34" x14ac:dyDescent="0.25">
      <c r="A6" s="7" t="s">
        <v>24</v>
      </c>
      <c r="B6" s="8">
        <v>15</v>
      </c>
      <c r="C6" t="s">
        <v>8</v>
      </c>
      <c r="E6" s="2">
        <v>2.14</v>
      </c>
      <c r="F6" s="2">
        <v>0</v>
      </c>
      <c r="G6" s="2">
        <v>0</v>
      </c>
      <c r="H6" s="2">
        <v>0</v>
      </c>
      <c r="I6" s="2">
        <v>0</v>
      </c>
      <c r="J6" s="2" t="s">
        <v>18</v>
      </c>
      <c r="K6" s="2">
        <v>0</v>
      </c>
      <c r="L6" s="2">
        <v>0</v>
      </c>
      <c r="N6" s="3">
        <f t="shared" si="0"/>
        <v>7</v>
      </c>
      <c r="O6" s="4">
        <f t="shared" si="1"/>
        <v>2.14</v>
      </c>
      <c r="Q6" s="2">
        <f t="shared" si="2"/>
        <v>0</v>
      </c>
      <c r="R6" s="2">
        <f t="shared" si="3"/>
        <v>2.14</v>
      </c>
      <c r="S6" s="2">
        <f t="shared" si="4"/>
        <v>2.14</v>
      </c>
      <c r="T6" s="2">
        <f t="shared" si="5"/>
        <v>2.14</v>
      </c>
      <c r="U6" s="2">
        <f t="shared" si="6"/>
        <v>2.14</v>
      </c>
      <c r="V6" s="2" t="str">
        <f t="shared" si="7"/>
        <v>Nada</v>
      </c>
      <c r="W6" s="2">
        <f t="shared" si="8"/>
        <v>2.14</v>
      </c>
      <c r="X6" s="2">
        <f t="shared" si="9"/>
        <v>2.14</v>
      </c>
      <c r="Z6" s="6" t="s">
        <v>11</v>
      </c>
      <c r="AA6" s="4">
        <f t="shared" si="10"/>
        <v>96.289999999999992</v>
      </c>
      <c r="AB6" s="4">
        <f t="shared" si="10"/>
        <v>84.05</v>
      </c>
      <c r="AC6" s="4">
        <f t="shared" si="10"/>
        <v>96.289999999999992</v>
      </c>
      <c r="AD6" s="4">
        <f t="shared" si="10"/>
        <v>0</v>
      </c>
      <c r="AE6" s="4">
        <f t="shared" si="10"/>
        <v>96.289999999999992</v>
      </c>
      <c r="AF6" s="4">
        <f t="shared" si="10"/>
        <v>0</v>
      </c>
      <c r="AG6" s="4">
        <f t="shared" si="10"/>
        <v>96.289999999999992</v>
      </c>
      <c r="AH6" s="4">
        <f t="shared" si="10"/>
        <v>84.05</v>
      </c>
    </row>
    <row r="7" spans="1:34" x14ac:dyDescent="0.25">
      <c r="A7" s="7" t="s">
        <v>25</v>
      </c>
      <c r="B7" s="8">
        <v>43.67</v>
      </c>
      <c r="C7" t="s">
        <v>15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18</v>
      </c>
      <c r="K7" s="2">
        <v>0</v>
      </c>
      <c r="L7" s="2">
        <v>6.24</v>
      </c>
      <c r="N7" s="3">
        <f t="shared" si="0"/>
        <v>7</v>
      </c>
      <c r="O7" s="4">
        <f t="shared" si="1"/>
        <v>6.24</v>
      </c>
      <c r="Q7" s="2">
        <f t="shared" si="2"/>
        <v>6.24</v>
      </c>
      <c r="R7" s="2">
        <f t="shared" si="3"/>
        <v>6.24</v>
      </c>
      <c r="S7" s="2">
        <f t="shared" si="4"/>
        <v>6.24</v>
      </c>
      <c r="T7" s="2">
        <f t="shared" si="5"/>
        <v>6.24</v>
      </c>
      <c r="U7" s="2">
        <f t="shared" si="6"/>
        <v>6.24</v>
      </c>
      <c r="V7" s="2" t="str">
        <f t="shared" si="7"/>
        <v>Nada</v>
      </c>
      <c r="W7" s="2">
        <f t="shared" si="8"/>
        <v>6.24</v>
      </c>
      <c r="X7" s="2">
        <f t="shared" si="9"/>
        <v>0</v>
      </c>
      <c r="Z7" s="6" t="s">
        <v>12</v>
      </c>
      <c r="AA7" s="4">
        <f t="shared" si="10"/>
        <v>0</v>
      </c>
      <c r="AB7" s="4">
        <f t="shared" si="10"/>
        <v>0</v>
      </c>
      <c r="AC7" s="4">
        <f t="shared" si="10"/>
        <v>0</v>
      </c>
      <c r="AD7" s="4">
        <f t="shared" si="10"/>
        <v>0</v>
      </c>
      <c r="AE7" s="4">
        <f t="shared" si="10"/>
        <v>0</v>
      </c>
      <c r="AF7" s="4">
        <f t="shared" si="10"/>
        <v>0</v>
      </c>
      <c r="AG7" s="4">
        <f t="shared" si="10"/>
        <v>0</v>
      </c>
      <c r="AH7" s="4">
        <f t="shared" si="10"/>
        <v>0</v>
      </c>
    </row>
    <row r="8" spans="1:34" x14ac:dyDescent="0.25">
      <c r="A8" s="7" t="s">
        <v>26</v>
      </c>
      <c r="B8" s="8">
        <v>177.22</v>
      </c>
      <c r="C8" t="s">
        <v>8</v>
      </c>
      <c r="E8" s="2">
        <v>44.31</v>
      </c>
      <c r="F8" s="2">
        <v>0</v>
      </c>
      <c r="G8" s="2">
        <v>0</v>
      </c>
      <c r="H8" s="2">
        <v>0</v>
      </c>
      <c r="I8" s="2" t="s">
        <v>18</v>
      </c>
      <c r="J8" s="2" t="s">
        <v>18</v>
      </c>
      <c r="K8" s="2" t="s">
        <v>18</v>
      </c>
      <c r="L8" s="2" t="s">
        <v>18</v>
      </c>
      <c r="N8" s="3">
        <f t="shared" si="0"/>
        <v>4</v>
      </c>
      <c r="O8" s="4">
        <f t="shared" si="1"/>
        <v>44.31</v>
      </c>
      <c r="Q8" s="2">
        <f t="shared" si="2"/>
        <v>0</v>
      </c>
      <c r="R8" s="2">
        <f t="shared" si="3"/>
        <v>44.31</v>
      </c>
      <c r="S8" s="2">
        <f t="shared" si="4"/>
        <v>44.31</v>
      </c>
      <c r="T8" s="2">
        <f t="shared" si="5"/>
        <v>44.31</v>
      </c>
      <c r="U8" s="2" t="str">
        <f t="shared" si="6"/>
        <v>Nada</v>
      </c>
      <c r="V8" s="2" t="str">
        <f t="shared" si="7"/>
        <v>Nada</v>
      </c>
      <c r="W8" s="2" t="str">
        <f t="shared" si="8"/>
        <v>Nada</v>
      </c>
      <c r="X8" s="2" t="str">
        <f t="shared" si="9"/>
        <v>Nada</v>
      </c>
      <c r="Z8" s="6" t="s">
        <v>13</v>
      </c>
      <c r="AA8" s="4">
        <f t="shared" si="10"/>
        <v>0</v>
      </c>
      <c r="AB8" s="4">
        <f t="shared" si="10"/>
        <v>0</v>
      </c>
      <c r="AC8" s="4">
        <f t="shared" si="10"/>
        <v>0</v>
      </c>
      <c r="AD8" s="4">
        <f t="shared" si="10"/>
        <v>0</v>
      </c>
      <c r="AE8" s="4">
        <f t="shared" si="10"/>
        <v>0</v>
      </c>
      <c r="AF8" s="4">
        <f t="shared" si="10"/>
        <v>0</v>
      </c>
      <c r="AG8" s="4">
        <f t="shared" si="10"/>
        <v>0</v>
      </c>
      <c r="AH8" s="4">
        <f t="shared" si="10"/>
        <v>0</v>
      </c>
    </row>
    <row r="9" spans="1:34" x14ac:dyDescent="0.25">
      <c r="A9" s="7" t="s">
        <v>27</v>
      </c>
      <c r="B9" s="8">
        <v>165.1</v>
      </c>
      <c r="C9" t="s">
        <v>8</v>
      </c>
      <c r="E9" s="2">
        <v>33.020000000000003</v>
      </c>
      <c r="F9" s="2">
        <v>0</v>
      </c>
      <c r="G9" s="2" t="s">
        <v>18</v>
      </c>
      <c r="H9" s="2">
        <v>0</v>
      </c>
      <c r="I9" s="2" t="s">
        <v>18</v>
      </c>
      <c r="J9" s="2" t="s">
        <v>18</v>
      </c>
      <c r="K9" s="2">
        <v>0</v>
      </c>
      <c r="L9" s="2">
        <v>0</v>
      </c>
      <c r="N9" s="3">
        <f t="shared" si="0"/>
        <v>5</v>
      </c>
      <c r="O9" s="4">
        <f t="shared" si="1"/>
        <v>33.020000000000003</v>
      </c>
      <c r="Q9" s="2">
        <f t="shared" si="2"/>
        <v>0</v>
      </c>
      <c r="R9" s="2">
        <f t="shared" si="3"/>
        <v>33.020000000000003</v>
      </c>
      <c r="S9" s="2" t="str">
        <f t="shared" si="4"/>
        <v>Nada</v>
      </c>
      <c r="T9" s="2">
        <f t="shared" si="5"/>
        <v>33.020000000000003</v>
      </c>
      <c r="U9" s="2" t="str">
        <f t="shared" si="6"/>
        <v>Nada</v>
      </c>
      <c r="V9" s="2" t="str">
        <f t="shared" si="7"/>
        <v>Nada</v>
      </c>
      <c r="W9" s="2">
        <f t="shared" si="8"/>
        <v>33.020000000000003</v>
      </c>
      <c r="X9" s="2">
        <f t="shared" si="9"/>
        <v>33.020000000000003</v>
      </c>
      <c r="Z9" s="6" t="s">
        <v>14</v>
      </c>
      <c r="AA9" s="4">
        <f t="shared" si="10"/>
        <v>0</v>
      </c>
      <c r="AB9" s="4">
        <f t="shared" si="10"/>
        <v>0</v>
      </c>
      <c r="AC9" s="4">
        <f t="shared" si="10"/>
        <v>0</v>
      </c>
      <c r="AD9" s="4">
        <f t="shared" si="10"/>
        <v>0</v>
      </c>
      <c r="AE9" s="4">
        <f t="shared" si="10"/>
        <v>0</v>
      </c>
      <c r="AF9" s="4">
        <f t="shared" si="10"/>
        <v>0</v>
      </c>
      <c r="AG9" s="4">
        <f t="shared" si="10"/>
        <v>0</v>
      </c>
      <c r="AH9" s="4">
        <f t="shared" si="10"/>
        <v>0</v>
      </c>
    </row>
    <row r="10" spans="1:34" x14ac:dyDescent="0.25">
      <c r="A10" s="7" t="s">
        <v>28</v>
      </c>
      <c r="B10" s="8">
        <f>36.8+7.9+12.9+15+8.2+15.8+7.3+5.9+18.3+3.2+18.3+5.1</f>
        <v>154.69999999999999</v>
      </c>
      <c r="C10" t="s">
        <v>8</v>
      </c>
      <c r="E10" s="2">
        <v>38.68</v>
      </c>
      <c r="F10" s="2">
        <v>0</v>
      </c>
      <c r="G10" s="2">
        <v>0</v>
      </c>
      <c r="H10" s="2">
        <v>0</v>
      </c>
      <c r="I10" s="2" t="s">
        <v>18</v>
      </c>
      <c r="J10" s="2" t="s">
        <v>18</v>
      </c>
      <c r="K10" s="2" t="s">
        <v>18</v>
      </c>
      <c r="L10" s="2" t="s">
        <v>18</v>
      </c>
      <c r="N10" s="3">
        <f t="shared" si="0"/>
        <v>4</v>
      </c>
      <c r="O10" s="4">
        <f t="shared" si="1"/>
        <v>38.68</v>
      </c>
      <c r="Q10" s="2">
        <f t="shared" si="2"/>
        <v>0</v>
      </c>
      <c r="R10" s="2">
        <f t="shared" si="3"/>
        <v>38.68</v>
      </c>
      <c r="S10" s="2">
        <f t="shared" si="4"/>
        <v>38.68</v>
      </c>
      <c r="T10" s="2">
        <f t="shared" si="5"/>
        <v>38.68</v>
      </c>
      <c r="U10" s="2" t="str">
        <f t="shared" si="6"/>
        <v>Nada</v>
      </c>
      <c r="V10" s="2" t="str">
        <f t="shared" si="7"/>
        <v>Nada</v>
      </c>
      <c r="W10" s="2" t="str">
        <f t="shared" si="8"/>
        <v>Nada</v>
      </c>
      <c r="X10" s="2" t="str">
        <f t="shared" si="9"/>
        <v>Nada</v>
      </c>
      <c r="Z10" s="6" t="s">
        <v>15</v>
      </c>
      <c r="AA10" s="4">
        <f t="shared" si="10"/>
        <v>6.24</v>
      </c>
      <c r="AB10" s="4">
        <f t="shared" si="10"/>
        <v>6.24</v>
      </c>
      <c r="AC10" s="4">
        <f t="shared" si="10"/>
        <v>6.24</v>
      </c>
      <c r="AD10" s="4">
        <f t="shared" si="10"/>
        <v>6.24</v>
      </c>
      <c r="AE10" s="4">
        <f t="shared" si="10"/>
        <v>6.24</v>
      </c>
      <c r="AF10" s="4">
        <f t="shared" si="10"/>
        <v>0</v>
      </c>
      <c r="AG10" s="4">
        <f t="shared" si="10"/>
        <v>6.24</v>
      </c>
      <c r="AH10" s="4">
        <f t="shared" si="10"/>
        <v>0</v>
      </c>
    </row>
    <row r="11" spans="1:34" x14ac:dyDescent="0.25">
      <c r="A11" s="7" t="s">
        <v>29</v>
      </c>
      <c r="B11" s="8">
        <f>7.3+5.9+18.3+10.2+18.3+12.9+20+8.2+11.8</f>
        <v>112.9</v>
      </c>
      <c r="C11" t="s">
        <v>8</v>
      </c>
      <c r="E11" s="2">
        <v>22.58</v>
      </c>
      <c r="F11" s="2">
        <v>0</v>
      </c>
      <c r="G11" s="2" t="s">
        <v>18</v>
      </c>
      <c r="H11" s="2">
        <v>0</v>
      </c>
      <c r="I11" s="2" t="s">
        <v>18</v>
      </c>
      <c r="J11" s="2" t="s">
        <v>18</v>
      </c>
      <c r="K11" s="2">
        <v>0</v>
      </c>
      <c r="L11" s="2">
        <v>0</v>
      </c>
      <c r="N11" s="3">
        <f t="shared" si="0"/>
        <v>5</v>
      </c>
      <c r="O11" s="4">
        <f t="shared" si="1"/>
        <v>22.58</v>
      </c>
      <c r="Q11" s="2">
        <f t="shared" si="2"/>
        <v>0</v>
      </c>
      <c r="R11" s="2">
        <f t="shared" si="3"/>
        <v>22.58</v>
      </c>
      <c r="S11" s="2" t="str">
        <f t="shared" si="4"/>
        <v>Nada</v>
      </c>
      <c r="T11" s="2">
        <f t="shared" si="5"/>
        <v>22.58</v>
      </c>
      <c r="U11" s="2" t="str">
        <f t="shared" si="6"/>
        <v>Nada</v>
      </c>
      <c r="V11" s="2" t="str">
        <f t="shared" si="7"/>
        <v>Nada</v>
      </c>
      <c r="W11" s="2">
        <f t="shared" si="8"/>
        <v>22.58</v>
      </c>
      <c r="X11" s="2">
        <f t="shared" si="9"/>
        <v>22.58</v>
      </c>
    </row>
    <row r="12" spans="1:34" x14ac:dyDescent="0.25">
      <c r="A12" s="7" t="s">
        <v>30</v>
      </c>
      <c r="B12" s="8">
        <v>55</v>
      </c>
      <c r="C12" t="s">
        <v>11</v>
      </c>
      <c r="E12" s="2">
        <v>0</v>
      </c>
      <c r="F12" s="2">
        <v>0</v>
      </c>
      <c r="G12" s="2">
        <v>0</v>
      </c>
      <c r="H12" s="2">
        <v>7.86</v>
      </c>
      <c r="I12" s="2">
        <v>0</v>
      </c>
      <c r="J12" s="2" t="s">
        <v>18</v>
      </c>
      <c r="K12" s="2">
        <v>0</v>
      </c>
      <c r="L12" s="2">
        <v>0</v>
      </c>
      <c r="N12" s="3">
        <f t="shared" si="0"/>
        <v>7</v>
      </c>
      <c r="O12" s="4">
        <f t="shared" si="1"/>
        <v>7.86</v>
      </c>
      <c r="Q12" s="2">
        <f t="shared" ref="Q12:Q13" si="11">IF(E12="n","Nada",IF(E12&gt;=0,$O12-E12,E12))</f>
        <v>7.86</v>
      </c>
      <c r="R12" s="2">
        <f t="shared" ref="R12:R13" si="12">IF(F12="n","Nada",IF(F12&gt;=0,$O12-F12,F12))</f>
        <v>7.86</v>
      </c>
      <c r="S12" s="2">
        <f t="shared" ref="S12:S13" si="13">IF(G12="n","Nada",IF(G12&gt;=0,$O12-G12,G12))</f>
        <v>7.86</v>
      </c>
      <c r="T12" s="2">
        <f t="shared" ref="T12:T13" si="14">IF(H12="n","Nada",IF(H12&gt;=0,$O12-H12,H12))</f>
        <v>0</v>
      </c>
      <c r="U12" s="2">
        <f t="shared" ref="U12:U13" si="15">IF(I12="n","Nada",IF(I12&gt;=0,$O12-I12,I12))</f>
        <v>7.86</v>
      </c>
      <c r="V12" s="2" t="str">
        <f t="shared" ref="V12:V13" si="16">IF(J12="n","Nada",IF(J12&gt;=0,$O12-J12,J12))</f>
        <v>Nada</v>
      </c>
      <c r="W12" s="2">
        <f t="shared" ref="W12:W13" si="17">IF(K12="n","Nada",IF(K12&gt;=0,$O12-K12,K12))</f>
        <v>7.86</v>
      </c>
      <c r="X12" s="2">
        <f t="shared" ref="X12:X13" si="18">IF(L12="n","Nada",IF(L12&gt;=0,$O12-L12,L12))</f>
        <v>7.86</v>
      </c>
      <c r="Z12" s="13" t="s">
        <v>19</v>
      </c>
      <c r="AA12" s="13"/>
      <c r="AB12" s="13"/>
      <c r="AC12" s="13"/>
      <c r="AD12" s="13"/>
      <c r="AE12" s="13"/>
      <c r="AF12" s="13"/>
      <c r="AG12" s="13"/>
      <c r="AH12" s="9"/>
    </row>
    <row r="13" spans="1:34" x14ac:dyDescent="0.25">
      <c r="A13" s="7" t="s">
        <v>31</v>
      </c>
      <c r="B13" s="8">
        <v>136.29</v>
      </c>
      <c r="C13" t="s">
        <v>10</v>
      </c>
      <c r="E13" s="2">
        <v>0</v>
      </c>
      <c r="F13" s="2">
        <v>0</v>
      </c>
      <c r="G13" s="2">
        <v>19.47</v>
      </c>
      <c r="H13" s="2">
        <v>0</v>
      </c>
      <c r="I13" s="2">
        <v>0</v>
      </c>
      <c r="J13" s="2" t="s">
        <v>18</v>
      </c>
      <c r="K13" s="2">
        <v>0</v>
      </c>
      <c r="L13" s="2">
        <v>0</v>
      </c>
      <c r="N13" s="3">
        <f t="shared" ref="N13" si="19">8-COUNTIF(E13:L13,"n")</f>
        <v>7</v>
      </c>
      <c r="O13" s="4">
        <f t="shared" ref="O13" si="20">ROUND(B13/N13,2)</f>
        <v>19.47</v>
      </c>
      <c r="Q13" s="2">
        <f t="shared" si="11"/>
        <v>19.47</v>
      </c>
      <c r="R13" s="2">
        <f t="shared" si="12"/>
        <v>19.47</v>
      </c>
      <c r="S13" s="2">
        <f t="shared" si="13"/>
        <v>0</v>
      </c>
      <c r="T13" s="2">
        <f t="shared" si="14"/>
        <v>19.47</v>
      </c>
      <c r="U13" s="2">
        <f t="shared" si="15"/>
        <v>19.47</v>
      </c>
      <c r="V13" s="2" t="str">
        <f t="shared" si="16"/>
        <v>Nada</v>
      </c>
      <c r="W13" s="2">
        <f t="shared" si="17"/>
        <v>19.47</v>
      </c>
      <c r="X13" s="2">
        <f t="shared" si="18"/>
        <v>19.47</v>
      </c>
      <c r="Z13" s="10" t="s">
        <v>8</v>
      </c>
      <c r="AA13" s="10"/>
      <c r="AB13" s="14" t="s">
        <v>9</v>
      </c>
      <c r="AC13" s="14"/>
      <c r="AD13" s="14" t="s">
        <v>10</v>
      </c>
      <c r="AE13" s="14"/>
      <c r="AF13" s="14" t="s">
        <v>11</v>
      </c>
      <c r="AG13" s="14"/>
      <c r="AH13" s="9"/>
    </row>
    <row r="14" spans="1:34" x14ac:dyDescent="0.25">
      <c r="A14" s="7"/>
      <c r="Z14" t="s">
        <v>9</v>
      </c>
      <c r="AA14" s="9"/>
      <c r="AB14" t="s">
        <v>8</v>
      </c>
      <c r="AC14" s="9">
        <f>-140.73</f>
        <v>-140.72999999999999</v>
      </c>
      <c r="AD14" t="s">
        <v>8</v>
      </c>
      <c r="AE14" s="9"/>
      <c r="AF14" t="s">
        <v>8</v>
      </c>
      <c r="AG14" s="9"/>
    </row>
    <row r="15" spans="1:34" x14ac:dyDescent="0.25">
      <c r="A15" s="7"/>
      <c r="Z15" t="s">
        <v>10</v>
      </c>
      <c r="AA15" s="9">
        <f>85.13-27.62</f>
        <v>57.509999999999991</v>
      </c>
      <c r="AB15" t="s">
        <v>10</v>
      </c>
      <c r="AC15" s="9">
        <f>-27.62</f>
        <v>-27.62</v>
      </c>
      <c r="AD15" t="s">
        <v>9</v>
      </c>
      <c r="AE15" s="9">
        <v>27.62</v>
      </c>
      <c r="AF15" t="s">
        <v>9</v>
      </c>
      <c r="AG15" s="9"/>
    </row>
    <row r="16" spans="1:34" x14ac:dyDescent="0.25">
      <c r="A16" s="7"/>
      <c r="Z16" t="s">
        <v>11</v>
      </c>
      <c r="AA16" s="9">
        <f>140.73-96.29</f>
        <v>44.439999999999984</v>
      </c>
      <c r="AB16" t="s">
        <v>11</v>
      </c>
      <c r="AC16" s="9">
        <f>-84.05</f>
        <v>-84.05</v>
      </c>
      <c r="AD16" t="s">
        <v>11</v>
      </c>
      <c r="AE16" s="9">
        <f>27.62-96.29</f>
        <v>-68.67</v>
      </c>
      <c r="AF16" t="s">
        <v>10</v>
      </c>
      <c r="AG16" s="9"/>
    </row>
    <row r="17" spans="1:33" x14ac:dyDescent="0.25">
      <c r="A17" s="7"/>
      <c r="Z17" t="s">
        <v>12</v>
      </c>
      <c r="AA17" s="9">
        <v>2.14</v>
      </c>
      <c r="AB17" t="s">
        <v>12</v>
      </c>
      <c r="AC17" s="9"/>
      <c r="AD17" t="s">
        <v>12</v>
      </c>
      <c r="AE17" s="9">
        <f>27.62</f>
        <v>27.62</v>
      </c>
      <c r="AF17" t="s">
        <v>12</v>
      </c>
      <c r="AG17" s="9">
        <f>96.29</f>
        <v>96.29</v>
      </c>
    </row>
    <row r="18" spans="1:33" x14ac:dyDescent="0.25">
      <c r="A18" s="7"/>
      <c r="Z18" t="s">
        <v>13</v>
      </c>
      <c r="AA18" s="9"/>
      <c r="AB18" t="s">
        <v>13</v>
      </c>
      <c r="AC18" s="9"/>
      <c r="AD18" t="s">
        <v>13</v>
      </c>
      <c r="AE18" s="9"/>
      <c r="AF18" t="s">
        <v>13</v>
      </c>
      <c r="AG18" s="9"/>
    </row>
    <row r="19" spans="1:33" x14ac:dyDescent="0.25">
      <c r="A19" s="7"/>
      <c r="Z19" t="s">
        <v>14</v>
      </c>
      <c r="AA19" s="9">
        <f>57.74</f>
        <v>57.74</v>
      </c>
      <c r="AB19" t="s">
        <v>14</v>
      </c>
      <c r="AC19" s="9"/>
      <c r="AD19" t="s">
        <v>14</v>
      </c>
      <c r="AE19" s="9">
        <f>27.62</f>
        <v>27.62</v>
      </c>
      <c r="AF19" t="s">
        <v>14</v>
      </c>
      <c r="AG19" s="9">
        <f>96.29</f>
        <v>96.29</v>
      </c>
    </row>
    <row r="20" spans="1:33" x14ac:dyDescent="0.25">
      <c r="A20" s="7"/>
      <c r="Z20" t="s">
        <v>15</v>
      </c>
      <c r="AA20" s="9">
        <f>57.74-6.24</f>
        <v>51.5</v>
      </c>
      <c r="AB20" t="s">
        <v>15</v>
      </c>
      <c r="AC20" s="9">
        <f>-6.24</f>
        <v>-6.24</v>
      </c>
      <c r="AD20" t="s">
        <v>15</v>
      </c>
      <c r="AE20" s="9">
        <f>27.62</f>
        <v>27.62</v>
      </c>
      <c r="AF20" t="s">
        <v>15</v>
      </c>
      <c r="AG20" s="9">
        <f>96.29</f>
        <v>96.29</v>
      </c>
    </row>
    <row r="21" spans="1:33" x14ac:dyDescent="0.25">
      <c r="A21" s="7"/>
      <c r="AA21" s="9"/>
      <c r="AC21" s="9"/>
      <c r="AD21"/>
      <c r="AE21" s="9"/>
      <c r="AG21" s="9"/>
    </row>
    <row r="22" spans="1:33" x14ac:dyDescent="0.25">
      <c r="A22" s="7"/>
      <c r="Z22" s="10" t="s">
        <v>12</v>
      </c>
      <c r="AA22" s="10"/>
      <c r="AB22" s="14" t="s">
        <v>13</v>
      </c>
      <c r="AC22" s="14"/>
      <c r="AD22" s="14" t="s">
        <v>14</v>
      </c>
      <c r="AE22" s="14"/>
      <c r="AF22" s="14" t="s">
        <v>15</v>
      </c>
      <c r="AG22" s="14"/>
    </row>
    <row r="23" spans="1:33" x14ac:dyDescent="0.25">
      <c r="A23" s="7"/>
      <c r="Z23" t="s">
        <v>8</v>
      </c>
      <c r="AA23" s="9"/>
      <c r="AB23" t="s">
        <v>8</v>
      </c>
      <c r="AC23" s="9"/>
      <c r="AD23" t="s">
        <v>8</v>
      </c>
      <c r="AE23" s="4"/>
      <c r="AF23" t="s">
        <v>8</v>
      </c>
      <c r="AG23" s="9"/>
    </row>
    <row r="24" spans="1:33" x14ac:dyDescent="0.25">
      <c r="A24" s="7"/>
      <c r="Z24" t="s">
        <v>9</v>
      </c>
      <c r="AA24" s="9"/>
      <c r="AB24" t="s">
        <v>9</v>
      </c>
      <c r="AC24" s="9"/>
      <c r="AD24" t="s">
        <v>9</v>
      </c>
      <c r="AE24" s="4"/>
      <c r="AF24" t="s">
        <v>9</v>
      </c>
      <c r="AG24" s="9"/>
    </row>
    <row r="25" spans="1:33" x14ac:dyDescent="0.25">
      <c r="A25" s="7"/>
      <c r="Z25" t="s">
        <v>10</v>
      </c>
      <c r="AA25" s="9"/>
      <c r="AB25" t="s">
        <v>10</v>
      </c>
      <c r="AC25" s="9"/>
      <c r="AD25" t="s">
        <v>10</v>
      </c>
      <c r="AE25" s="4"/>
      <c r="AF25" t="s">
        <v>10</v>
      </c>
      <c r="AG25" s="9"/>
    </row>
    <row r="26" spans="1:33" x14ac:dyDescent="0.25">
      <c r="A26" s="7"/>
      <c r="Z26" t="s">
        <v>11</v>
      </c>
      <c r="AA26" s="9"/>
      <c r="AB26" t="s">
        <v>11</v>
      </c>
      <c r="AC26" s="9"/>
      <c r="AD26" t="s">
        <v>11</v>
      </c>
      <c r="AE26" s="4"/>
      <c r="AF26" t="s">
        <v>11</v>
      </c>
      <c r="AG26" s="9"/>
    </row>
    <row r="27" spans="1:33" x14ac:dyDescent="0.25">
      <c r="A27" s="7"/>
      <c r="Z27" t="s">
        <v>13</v>
      </c>
      <c r="AA27" s="9"/>
      <c r="AB27" t="s">
        <v>12</v>
      </c>
      <c r="AC27" s="9"/>
      <c r="AD27" t="s">
        <v>12</v>
      </c>
      <c r="AE27" s="4"/>
      <c r="AF27" t="s">
        <v>12</v>
      </c>
      <c r="AG27" s="9"/>
    </row>
    <row r="28" spans="1:33" x14ac:dyDescent="0.25">
      <c r="A28" s="7"/>
      <c r="Z28" t="s">
        <v>14</v>
      </c>
      <c r="AA28" s="9"/>
      <c r="AB28" t="s">
        <v>14</v>
      </c>
      <c r="AC28" s="9"/>
      <c r="AD28" t="s">
        <v>13</v>
      </c>
      <c r="AE28" s="4"/>
      <c r="AF28" t="s">
        <v>13</v>
      </c>
      <c r="AG28" s="9"/>
    </row>
    <row r="29" spans="1:33" x14ac:dyDescent="0.25">
      <c r="A29" s="7"/>
      <c r="Z29" t="s">
        <v>15</v>
      </c>
      <c r="AA29" s="9"/>
      <c r="AB29" t="s">
        <v>15</v>
      </c>
      <c r="AC29" s="9"/>
      <c r="AD29" t="s">
        <v>15</v>
      </c>
      <c r="AE29" s="4"/>
      <c r="AF29" t="s">
        <v>14</v>
      </c>
      <c r="AG29" s="9"/>
    </row>
    <row r="30" spans="1:33" x14ac:dyDescent="0.25">
      <c r="A30" s="7"/>
      <c r="Z30" s="13" t="s">
        <v>20</v>
      </c>
      <c r="AA30" s="13"/>
      <c r="AB30" s="13"/>
      <c r="AC30" s="13"/>
      <c r="AD30" s="13"/>
      <c r="AE30" s="13"/>
      <c r="AF30" s="13"/>
      <c r="AG30" s="13"/>
    </row>
    <row r="31" spans="1:33" x14ac:dyDescent="0.25">
      <c r="A31" s="7"/>
      <c r="Z31" s="10" t="s">
        <v>8</v>
      </c>
      <c r="AA31" s="10"/>
      <c r="AB31" s="14" t="s">
        <v>9</v>
      </c>
      <c r="AC31" s="14"/>
      <c r="AD31" s="14" t="s">
        <v>10</v>
      </c>
      <c r="AE31" s="14"/>
      <c r="AF31" s="14" t="s">
        <v>11</v>
      </c>
      <c r="AG31" s="14"/>
    </row>
    <row r="32" spans="1:33" x14ac:dyDescent="0.25">
      <c r="A32" s="7"/>
      <c r="Z32" t="s">
        <v>9</v>
      </c>
      <c r="AA32" s="9">
        <v>0</v>
      </c>
      <c r="AB32" t="s">
        <v>8</v>
      </c>
      <c r="AC32" s="9">
        <v>0</v>
      </c>
      <c r="AD32" t="s">
        <v>8</v>
      </c>
      <c r="AE32" s="9">
        <f>178.95+8.35</f>
        <v>187.29999999999998</v>
      </c>
      <c r="AF32" t="s">
        <v>8</v>
      </c>
      <c r="AG32" s="9">
        <f>158.52+20.46</f>
        <v>178.98000000000002</v>
      </c>
    </row>
    <row r="33" spans="1:33" x14ac:dyDescent="0.25">
      <c r="A33" s="7"/>
      <c r="Z33" t="s">
        <v>10</v>
      </c>
      <c r="AA33" s="9">
        <v>0</v>
      </c>
      <c r="AB33" t="s">
        <v>10</v>
      </c>
      <c r="AC33" s="9">
        <v>0</v>
      </c>
      <c r="AD33" t="s">
        <v>9</v>
      </c>
      <c r="AE33" s="9">
        <v>0</v>
      </c>
      <c r="AF33" t="s">
        <v>9</v>
      </c>
      <c r="AG33" s="9">
        <v>0</v>
      </c>
    </row>
    <row r="34" spans="1:33" x14ac:dyDescent="0.25">
      <c r="A34" s="7"/>
      <c r="Z34" t="s">
        <v>11</v>
      </c>
      <c r="AA34" s="9">
        <v>0</v>
      </c>
      <c r="AB34" t="s">
        <v>11</v>
      </c>
      <c r="AC34" s="9">
        <v>0</v>
      </c>
      <c r="AD34" t="s">
        <v>11</v>
      </c>
      <c r="AE34" s="9">
        <v>0</v>
      </c>
      <c r="AF34" t="s">
        <v>10</v>
      </c>
      <c r="AG34" s="9">
        <f>39.34-12.92</f>
        <v>26.42</v>
      </c>
    </row>
    <row r="35" spans="1:33" x14ac:dyDescent="0.25">
      <c r="A35" s="7"/>
      <c r="Z35" t="s">
        <v>12</v>
      </c>
      <c r="AA35" s="9">
        <v>0</v>
      </c>
      <c r="AB35" t="s">
        <v>12</v>
      </c>
      <c r="AC35" s="9">
        <v>0</v>
      </c>
      <c r="AD35" t="s">
        <v>12</v>
      </c>
      <c r="AE35" s="9">
        <v>65.23</v>
      </c>
      <c r="AF35" t="s">
        <v>12</v>
      </c>
      <c r="AG35" s="9">
        <f>65.23-2.68</f>
        <v>62.550000000000004</v>
      </c>
    </row>
    <row r="36" spans="1:33" x14ac:dyDescent="0.25">
      <c r="A36" s="7"/>
      <c r="Z36" t="s">
        <v>13</v>
      </c>
      <c r="AA36" s="9">
        <v>0</v>
      </c>
      <c r="AB36" t="s">
        <v>13</v>
      </c>
      <c r="AC36" s="9">
        <v>0</v>
      </c>
      <c r="AD36" t="s">
        <v>13</v>
      </c>
      <c r="AE36" s="9">
        <v>21.52</v>
      </c>
      <c r="AF36" t="s">
        <v>13</v>
      </c>
      <c r="AG36" s="9">
        <f>21.52-12.92</f>
        <v>8.6</v>
      </c>
    </row>
    <row r="37" spans="1:33" x14ac:dyDescent="0.25">
      <c r="A37" s="7"/>
      <c r="Z37" t="s">
        <v>14</v>
      </c>
      <c r="AA37" s="4">
        <v>0</v>
      </c>
      <c r="AB37" t="s">
        <v>14</v>
      </c>
      <c r="AC37" s="4">
        <v>0</v>
      </c>
      <c r="AD37" t="s">
        <v>14</v>
      </c>
      <c r="AE37" s="4">
        <v>19.420000000000002</v>
      </c>
      <c r="AF37" t="s">
        <v>14</v>
      </c>
      <c r="AG37" s="4">
        <f>19.42-12.92</f>
        <v>6.5000000000000018</v>
      </c>
    </row>
    <row r="38" spans="1:33" x14ac:dyDescent="0.25">
      <c r="A38" s="7"/>
      <c r="Z38" t="s">
        <v>15</v>
      </c>
      <c r="AA38" s="9">
        <v>0</v>
      </c>
      <c r="AB38" t="s">
        <v>15</v>
      </c>
      <c r="AC38" s="9">
        <v>0</v>
      </c>
      <c r="AD38" t="s">
        <v>15</v>
      </c>
      <c r="AE38" s="9">
        <v>0</v>
      </c>
      <c r="AF38" t="s">
        <v>15</v>
      </c>
      <c r="AG38" s="9">
        <v>0</v>
      </c>
    </row>
    <row r="39" spans="1:33" x14ac:dyDescent="0.25">
      <c r="Z39" s="10" t="s">
        <v>12</v>
      </c>
      <c r="AA39" s="10"/>
      <c r="AB39" s="14" t="s">
        <v>13</v>
      </c>
      <c r="AC39" s="14"/>
      <c r="AD39" s="14" t="s">
        <v>14</v>
      </c>
      <c r="AE39" s="14"/>
      <c r="AF39" s="14" t="s">
        <v>15</v>
      </c>
      <c r="AG39" s="14"/>
    </row>
    <row r="40" spans="1:33" x14ac:dyDescent="0.25">
      <c r="Z40" t="s">
        <v>8</v>
      </c>
      <c r="AA40" s="9">
        <f>123.12-31.85</f>
        <v>91.27000000000001</v>
      </c>
      <c r="AB40" t="s">
        <v>8</v>
      </c>
      <c r="AC40" s="9">
        <f>16.18+189.77</f>
        <v>205.95000000000002</v>
      </c>
      <c r="AD40" t="s">
        <v>8</v>
      </c>
      <c r="AE40" s="9">
        <f>13.96+168.86</f>
        <v>182.82000000000002</v>
      </c>
      <c r="AF40" t="s">
        <v>8</v>
      </c>
      <c r="AG40" s="9">
        <f>33.38+231.04</f>
        <v>264.42</v>
      </c>
    </row>
    <row r="41" spans="1:33" x14ac:dyDescent="0.25">
      <c r="Z41" t="s">
        <v>9</v>
      </c>
      <c r="AA41" s="9">
        <v>0</v>
      </c>
      <c r="AB41" t="s">
        <v>9</v>
      </c>
      <c r="AC41" s="9">
        <v>0</v>
      </c>
      <c r="AD41" t="s">
        <v>9</v>
      </c>
      <c r="AE41" s="9">
        <v>0</v>
      </c>
      <c r="AF41" t="s">
        <v>9</v>
      </c>
      <c r="AG41" s="9">
        <v>0</v>
      </c>
    </row>
    <row r="42" spans="1:33" x14ac:dyDescent="0.25">
      <c r="Z42" t="s">
        <v>10</v>
      </c>
      <c r="AA42" s="9">
        <v>0</v>
      </c>
      <c r="AB42" t="s">
        <v>10</v>
      </c>
      <c r="AC42" s="9">
        <v>0</v>
      </c>
      <c r="AD42" t="s">
        <v>10</v>
      </c>
      <c r="AE42" s="9">
        <v>0</v>
      </c>
      <c r="AF42" t="s">
        <v>10</v>
      </c>
      <c r="AG42" s="9">
        <v>0</v>
      </c>
    </row>
    <row r="43" spans="1:33" x14ac:dyDescent="0.25">
      <c r="Z43" t="s">
        <v>11</v>
      </c>
      <c r="AA43" s="9">
        <v>0</v>
      </c>
      <c r="AB43" t="s">
        <v>11</v>
      </c>
      <c r="AC43" s="9">
        <v>0</v>
      </c>
      <c r="AD43" t="s">
        <v>11</v>
      </c>
      <c r="AE43" s="9">
        <v>0</v>
      </c>
      <c r="AF43" t="s">
        <v>11</v>
      </c>
      <c r="AG43" s="9">
        <v>12.92</v>
      </c>
    </row>
    <row r="44" spans="1:33" x14ac:dyDescent="0.25">
      <c r="Z44" t="s">
        <v>13</v>
      </c>
      <c r="AA44" s="9">
        <v>0</v>
      </c>
      <c r="AB44" t="s">
        <v>12</v>
      </c>
      <c r="AC44" s="9">
        <f>60.94-51.52</f>
        <v>9.4199999999999946</v>
      </c>
      <c r="AD44" t="s">
        <v>12</v>
      </c>
      <c r="AE44" s="9">
        <f>65.23-19.42</f>
        <v>45.81</v>
      </c>
      <c r="AF44" t="s">
        <v>12</v>
      </c>
      <c r="AG44" s="9">
        <v>65.23</v>
      </c>
    </row>
    <row r="45" spans="1:33" x14ac:dyDescent="0.25">
      <c r="Z45" t="s">
        <v>14</v>
      </c>
      <c r="AA45" s="4">
        <v>0</v>
      </c>
      <c r="AB45" t="s">
        <v>14</v>
      </c>
      <c r="AC45" s="4">
        <v>0</v>
      </c>
      <c r="AD45" t="s">
        <v>13</v>
      </c>
      <c r="AE45" s="9">
        <f>51.52-19.42</f>
        <v>32.1</v>
      </c>
      <c r="AF45" t="s">
        <v>13</v>
      </c>
      <c r="AG45" s="9">
        <v>51.52</v>
      </c>
    </row>
    <row r="46" spans="1:33" x14ac:dyDescent="0.25">
      <c r="Z46" t="s">
        <v>15</v>
      </c>
      <c r="AA46" s="9">
        <v>0</v>
      </c>
      <c r="AB46" t="s">
        <v>15</v>
      </c>
      <c r="AC46" s="9">
        <v>0</v>
      </c>
      <c r="AD46" t="s">
        <v>15</v>
      </c>
      <c r="AE46" s="9">
        <v>0</v>
      </c>
      <c r="AF46" t="s">
        <v>14</v>
      </c>
      <c r="AG46" s="4">
        <v>19.420000000000002</v>
      </c>
    </row>
  </sheetData>
  <mergeCells count="23">
    <mergeCell ref="Z39:AA39"/>
    <mergeCell ref="AB39:AC39"/>
    <mergeCell ref="AD39:AE39"/>
    <mergeCell ref="AF39:AG39"/>
    <mergeCell ref="Z30:AG30"/>
    <mergeCell ref="Z31:AA31"/>
    <mergeCell ref="AB31:AC31"/>
    <mergeCell ref="AD31:AE31"/>
    <mergeCell ref="Z12:AG12"/>
    <mergeCell ref="Z13:AA13"/>
    <mergeCell ref="AB13:AC13"/>
    <mergeCell ref="AD13:AE13"/>
    <mergeCell ref="AF13:AG13"/>
    <mergeCell ref="Z22:AA22"/>
    <mergeCell ref="AB22:AC22"/>
    <mergeCell ref="AD22:AE22"/>
    <mergeCell ref="AF22:AG22"/>
    <mergeCell ref="AF31:AG31"/>
    <mergeCell ref="A1:C1"/>
    <mergeCell ref="E1:L1"/>
    <mergeCell ref="N1:O1"/>
    <mergeCell ref="Q1:X1"/>
    <mergeCell ref="Z1:AH1"/>
  </mergeCells>
  <conditionalFormatting sqref="E1:L1048576">
    <cfRule type="cellIs" dxfId="3" priority="4" operator="equal">
      <formula>"n"</formula>
    </cfRule>
  </conditionalFormatting>
  <conditionalFormatting sqref="Q1:X1048576">
    <cfRule type="cellIs" dxfId="2" priority="3" operator="equal">
      <formula>"Nada"</formula>
    </cfRule>
  </conditionalFormatting>
  <conditionalFormatting sqref="Q3:X38">
    <cfRule type="cellIs" dxfId="1" priority="1" operator="lessThan">
      <formula>0.01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2023-12-27T17:42:47Z</dcterms:created>
  <dcterms:modified xsi:type="dcterms:W3CDTF">2024-12-30T22:11:50Z</dcterms:modified>
</cp:coreProperties>
</file>